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gata.sensei\Dio - IA\Claude - Excel\"/>
    </mc:Choice>
  </mc:AlternateContent>
  <xr:revisionPtr revIDLastSave="0" documentId="13_ncr:1_{1301CC02-D395-432D-B75E-8AA1A0CE3569}" xr6:coauthVersionLast="47" xr6:coauthVersionMax="47" xr10:uidLastSave="{00000000-0000-0000-0000-000000000000}"/>
  <bookViews>
    <workbookView xWindow="-120" yWindow="-120" windowWidth="29040" windowHeight="15720" xr2:uid="{3FD1F857-B1BD-4E71-B521-D7FD556EB3D4}"/>
  </bookViews>
  <sheets>
    <sheet name="Calculadora" sheetId="1" r:id="rId1"/>
    <sheet name="Suporte" sheetId="2" r:id="rId2"/>
  </sheets>
  <definedNames>
    <definedName name="aporte">Calculadora!$C$10</definedName>
    <definedName name="investimento">Calculadora!$C$25</definedName>
    <definedName name="patrimonio">Calculadora!$C$13</definedName>
    <definedName name="qtd_anos">Calculadora!$C$11</definedName>
    <definedName name="rendimento_carteira">Calculadora!$C$6</definedName>
    <definedName name="taxa_mensal">Calculadora!$C$12</definedName>
    <definedName name="tipo_perfil">Calculadora!$C$24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9" i="1" l="1"/>
  <c r="C30" i="1"/>
  <c r="C31" i="1"/>
  <c r="D31" i="1" s="1"/>
  <c r="C32" i="1"/>
  <c r="C33" i="1"/>
  <c r="D33" i="1" s="1"/>
  <c r="C28" i="1"/>
  <c r="D19" i="1"/>
  <c r="D20" i="1"/>
  <c r="D21" i="1"/>
  <c r="D22" i="1"/>
  <c r="D18" i="1"/>
  <c r="C19" i="1"/>
  <c r="C20" i="1"/>
  <c r="C21" i="1"/>
  <c r="C22" i="1"/>
  <c r="C18" i="1"/>
  <c r="C25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C13" i="1"/>
  <c r="C14" i="1" s="1"/>
  <c r="C7" i="1"/>
  <c r="D32" i="1" l="1"/>
  <c r="D28" i="1"/>
  <c r="D29" i="1"/>
  <c r="D30" i="1"/>
</calcChain>
</file>

<file path=xl/sharedStrings.xml><?xml version="1.0" encoding="utf-8"?>
<sst xmlns="http://schemas.openxmlformats.org/spreadsheetml/2006/main" count="78" uniqueCount="39">
  <si>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</si>
  <si>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</si>
  <si>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</si>
  <si>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</si>
  <si>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</si>
  <si>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</si>
  <si>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Cenários</t>
  </si>
  <si>
    <t>Quanto em 5 Anos?</t>
  </si>
  <si>
    <t>Quanto em 10 Anos?</t>
  </si>
  <si>
    <t>Quanto em 20 Anos?</t>
  </si>
  <si>
    <t>Quanto em 30 Anos?</t>
  </si>
  <si>
    <t>Quanto em 2 Anos?</t>
  </si>
  <si>
    <t>Dividendo</t>
  </si>
  <si>
    <t>Configurações</t>
  </si>
  <si>
    <t>Salário</t>
  </si>
  <si>
    <t>Rendimento Carteira</t>
  </si>
  <si>
    <t>Sugestão de investimento</t>
  </si>
  <si>
    <t>Perfil</t>
  </si>
  <si>
    <t>Valor a ser investido por mês</t>
  </si>
  <si>
    <t>TIPO DE FII</t>
  </si>
  <si>
    <t>PAPEL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</si>
  <si>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</si>
  <si>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</si>
  <si>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</si>
  <si>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</si>
  <si>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</si>
  <si>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</si>
  <si>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</si>
  <si>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Conservador</t>
  </si>
  <si>
    <t>%</t>
  </si>
  <si>
    <t>Moderado</t>
  </si>
  <si>
    <t>Agressivo</t>
  </si>
  <si>
    <t>CHAVE</t>
  </si>
  <si>
    <t>selecione um perfil ao lado</t>
  </si>
  <si>
    <t>Defina um valor de aporte mensal</t>
  </si>
  <si>
    <t>Defina um período de aplicações</t>
  </si>
  <si>
    <t>Defina um valor de rendimento mensal</t>
  </si>
  <si>
    <t>Defina o valor do seu salário</t>
  </si>
  <si>
    <t>Saiba qual seria o valor sugerido de investimento
com base em seu salário (aprox.30%)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</si>
</sst>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9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44" fontId="0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44" fontId="0" fillId="0" borderId="0" xfId="1" applyFont="1" applyAlignment="1" applyProtection="1">
      <alignment vertical="center"/>
      <protection locked="0"/>
    </xf>
    <xf numFmtId="164" fontId="0" fillId="0" borderId="0" xfId="0" applyNumberFormat="1" applyAlignment="1" applyProtection="1">
      <alignment vertical="center"/>
      <protection locked="0"/>
    </xf>
    <xf numFmtId="0" fontId="6" fillId="0" borderId="0" xfId="0" applyFont="1"/>
    <xf numFmtId="44" fontId="0" fillId="2" borderId="0" xfId="1" applyFont="1" applyFill="1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10" fontId="0" fillId="2" borderId="0" xfId="2" applyNumberFormat="1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7" fillId="0" borderId="0" xfId="0" applyFont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3">
    <dxf>
      <fill>
        <patternFill>
          <bgColor theme="7"/>
        </patternFill>
      </fill>
    </dxf>
    <dxf>
      <fill>
        <patternFill>
          <bgColor theme="9" tint="0.39994506668294322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Calculadora!$C$27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6A-4048-9D87-FF6C70F166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A-4048-9D87-FF6C70F1668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6A-4048-9D87-FF6C70F1668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6A-4048-9D87-FF6C70F1668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6A-4048-9D87-FF6C70F1668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6A-4048-9D87-FF6C70F1668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Calculadora!$B$28:$B$33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Calculadora!$C$28:$C$33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0-4952-A5BE-7D7365EAA5A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285750</xdr:colOff>
      <xdr:row>22</xdr:row>
      <xdr:rowOff>219074</xdr:rowOff>
    </xdr:from>
    <xdr:to>
      <xdr:col>11</xdr:col>
      <xdr:colOff>590550</xdr:colOff>
      <xdr:row>33</xdr:row>
      <xdr:rowOff>142874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58D3F4-9BD5-E9EF-58A8-121686C22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95250</xdr:colOff>
      <xdr:row>0</xdr:row>
      <xdr:rowOff>57150</xdr:rowOff>
    </xdr:from>
    <xdr:to>
      <xdr:col>6</xdr:col>
      <xdr:colOff>200025</xdr:colOff>
      <xdr:row>2</xdr:row>
      <xdr:rowOff>276225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48650DA0-48AE-6504-F306-2109F8C82BC7}"/>
            </a:ext>
          </a:extLst>
        </xdr:cNvPr>
        <xdr:cNvSpPr/>
      </xdr:nvSpPr>
      <xdr:spPr>
        <a:xfrm>
          <a:off x="95250" y="57150"/>
          <a:ext cx="6858000" cy="1019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1666875</xdr:colOff>
      <xdr:row>0</xdr:row>
      <xdr:rowOff>95250</xdr:rowOff>
    </xdr:from>
    <xdr:to>
      <xdr:col>4</xdr:col>
      <xdr:colOff>476250</xdr:colOff>
      <xdr:row>1</xdr:row>
      <xdr:rowOff>361950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742B769-B541-8567-0FC7-97443C601043}"/>
            </a:ext>
          </a:extLst>
        </xdr:cNvPr>
        <xdr:cNvSpPr txBox="1"/>
      </xdr:nvSpPr>
      <xdr:spPr>
        <a:xfrm>
          <a:off x="2276475" y="95250"/>
          <a:ext cx="323850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800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Naga Invest</a:t>
          </a:r>
        </a:p>
      </xdr:txBody>
    </xdr:sp>
    <xdr:clientData/>
  </xdr:twoCellAnchor>
  <xdr:twoCellAnchor editAs="oneCell">
    <xdr:from>
      <xdr:col>1</xdr:col>
      <xdr:colOff>1143000</xdr:colOff>
      <xdr:row>0</xdr:row>
      <xdr:rowOff>114300</xdr:rowOff>
    </xdr:from>
    <xdr:to>
      <xdr:col>2</xdr:col>
      <xdr:colOff>238125</xdr:colOff>
      <xdr:row>2</xdr:row>
      <xdr:rowOff>228600</xdr:rowOff>
    </xdr:to>
    <xdr:pic>
      <xdr:nvPicPr>
        <xdr:cNvPr id="6" name="Gráfico 5" descr="Ábaco estrutura de tópicos">
          <a:extLst>
            <a:ext uri="{FF2B5EF4-FFF2-40B4-BE49-F238E27FC236}">
              <a16:creationId xmlns:a16="http://schemas.microsoft.com/office/drawing/2014/main" id="{579A89FB-E0AB-1F60-C836-ECF00840C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52600" y="114300"/>
          <a:ext cx="914400" cy="914400"/>
        </a:xfrm>
        <a:prstGeom prst="rect">
          <a:avLst/>
        </a:prstGeom>
      </xdr:spPr>
    </xdr:pic>
    <xdr:clientData/>
  </xdr:twoCellAnchor>
  <xdr:twoCellAnchor>
    <xdr:from>
      <xdr:col>1</xdr:col>
      <xdr:colOff>1609725</xdr:colOff>
      <xdr:row>1</xdr:row>
      <xdr:rowOff>38100</xdr:rowOff>
    </xdr:from>
    <xdr:to>
      <xdr:col>4</xdr:col>
      <xdr:colOff>419100</xdr:colOff>
      <xdr:row>2</xdr:row>
      <xdr:rowOff>304800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EA98882E-FA1A-5221-0B45-0CF30D9ABBCC}"/>
            </a:ext>
          </a:extLst>
        </xdr:cNvPr>
        <xdr:cNvSpPr txBox="1"/>
      </xdr:nvSpPr>
      <xdr:spPr>
        <a:xfrm>
          <a:off x="2219325" y="438150"/>
          <a:ext cx="3238500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ja-JP" altLang="pt-BR" sz="1600">
              <a:solidFill>
                <a:schemeClr val="bg1"/>
              </a:solidFill>
              <a:latin typeface="Aharoni" panose="020F0502020204030204" pitchFamily="2" charset="-79"/>
              <a:cs typeface="Aharoni" panose="020F0502020204030204" pitchFamily="2" charset="-79"/>
            </a:rPr>
            <a:t>永・インベスト</a:t>
          </a:r>
          <a:endParaRPr lang="pt-BR" sz="1600">
            <a:solidFill>
              <a:schemeClr val="bg1"/>
            </a:solidFill>
            <a:latin typeface="Aharoni" panose="020F0502020204030204" pitchFamily="2" charset="-79"/>
            <a:cs typeface="Aharoni" panose="020F0502020204030204" pitchFamily="2" charset="-79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CD37-6AFD-4B0B-ACD3-094770B0DDDF}">
  <dimension ref="A1:E33"/>
  <sheetViews>
    <sheetView showGridLines="0" tabSelected="1" topLeftCell="A20" workbookViewId="0">
      <selection activeCell="E45" sqref="E45"/>
    </sheetView>
  </sheetViews>
  <sheetFormatPr defaultRowHeight="15" x14ac:dyDescent="0.25"/>
  <cols>
    <col min="2" max="2" width="27.28515625" bestFit="1" customWidth="1"/>
    <col min="3" max="3" width="24.28515625" customWidth="1"/>
    <col min="4" max="4" width="14.85546875" customWidth="1"/>
    <col min="5" max="5" width="13.5703125" customWidth="1"/>
    <col min="6" max="6" width="12.140625" bestFit="1" customWidth="1"/>
  </cols>
  <sheetData>
    <row r="1" spans="2:4" ht="31.5" customHeight="1" x14ac:dyDescent="1">
      <c r="B1" s="2"/>
    </row>
    <row r="2" spans="2:4" ht="31.5" customHeight="1" x14ac:dyDescent="0.25"/>
    <row r="3" spans="2:4" ht="31.5" customHeight="1" x14ac:dyDescent="0.25"/>
    <row r="4" spans="2:4" ht="21.75" customHeight="1" x14ac:dyDescent="0.25">
      <c r="B4" s="4" t="s">
        <v>13</v>
      </c>
      <c r="C4" s="5"/>
      <c r="D4" s="6"/>
    </row>
    <row r="5" spans="2:4" ht="21.75" customHeight="1" x14ac:dyDescent="0.25">
      <c r="B5" s="6" t="s">
        <v>14</v>
      </c>
      <c r="C5" s="14">
        <v>5000</v>
      </c>
      <c r="D5" s="21" t="s">
        <v>37</v>
      </c>
    </row>
    <row r="6" spans="2:4" ht="21.75" customHeight="1" x14ac:dyDescent="0.25">
      <c r="B6" s="6" t="s">
        <v>15</v>
      </c>
      <c r="C6" s="15">
        <v>6.0000000000000001E-3</v>
      </c>
      <c r="D6" s="6"/>
    </row>
    <row r="7" spans="2:4" ht="21.75" customHeight="1" x14ac:dyDescent="0.25">
      <c r="B7" s="6" t="s">
        <v>16</v>
      </c>
      <c r="C7" s="7">
        <f>C5*0.3</f>
        <v>1500</v>
      </c>
      <c r="D7" s="21" t="s">
        <v>38</v>
      </c>
    </row>
    <row r="8" spans="2:4" ht="21.75" customHeight="1" x14ac:dyDescent="0.25">
      <c r="B8" s="6"/>
      <c r="C8" s="6"/>
      <c r="D8" s="6"/>
    </row>
    <row r="9" spans="2:4" ht="21.75" customHeight="1" x14ac:dyDescent="0.25">
      <c r="B9" s="3" t="s">
        <v>0</v>
      </c>
      <c r="C9" s="3"/>
      <c r="D9" s="6"/>
    </row>
    <row r="10" spans="2:4" ht="21.75" customHeight="1" x14ac:dyDescent="0.25">
      <c r="B10" s="6" t="s">
        <v>1</v>
      </c>
      <c r="C10" s="17">
        <v>750</v>
      </c>
      <c r="D10" s="21" t="s">
        <v>34</v>
      </c>
    </row>
    <row r="11" spans="2:4" ht="21.75" customHeight="1" x14ac:dyDescent="0.25">
      <c r="B11" s="6" t="s">
        <v>2</v>
      </c>
      <c r="C11" s="18">
        <v>5</v>
      </c>
      <c r="D11" s="21" t="s">
        <v>35</v>
      </c>
    </row>
    <row r="12" spans="2:4" ht="21.75" customHeight="1" x14ac:dyDescent="0.25">
      <c r="B12" s="6" t="s">
        <v>3</v>
      </c>
      <c r="C12" s="19">
        <v>1.0800000000000001E-2</v>
      </c>
      <c r="D12" s="21" t="s">
        <v>36</v>
      </c>
    </row>
    <row r="13" spans="2:4" ht="21.75" customHeight="1" x14ac:dyDescent="0.25">
      <c r="B13" s="6" t="s">
        <v>4</v>
      </c>
      <c r="C13" s="7">
        <f>FV(taxa_mensal,qtd_anos*12,aporte*-1)</f>
        <v>62853.014519443823</v>
      </c>
      <c r="D13" s="6"/>
    </row>
    <row r="14" spans="2:4" ht="21.75" customHeight="1" x14ac:dyDescent="0.25">
      <c r="B14" s="6" t="s">
        <v>5</v>
      </c>
      <c r="C14" s="7">
        <f>C13*C12</f>
        <v>678.81255680999334</v>
      </c>
      <c r="D14" s="6"/>
    </row>
    <row r="15" spans="2:4" ht="21.75" customHeight="1" x14ac:dyDescent="0.25">
      <c r="B15" s="6"/>
      <c r="C15" s="6"/>
      <c r="D15" s="6"/>
    </row>
    <row r="16" spans="2:4" ht="21.75" customHeight="1" x14ac:dyDescent="0.25">
      <c r="B16" s="6"/>
      <c r="C16" s="6"/>
      <c r="D16" s="6"/>
    </row>
    <row r="17" spans="1:5" ht="21.75" customHeight="1" x14ac:dyDescent="0.25">
      <c r="B17" s="8" t="s">
        <v>6</v>
      </c>
      <c r="C17" s="8"/>
      <c r="D17" s="8" t="s">
        <v>12</v>
      </c>
    </row>
    <row r="18" spans="1:5" ht="21.75" customHeight="1" x14ac:dyDescent="0.25">
      <c r="A18" s="16">
        <v>2</v>
      </c>
      <c r="B18" s="6" t="s">
        <v>11</v>
      </c>
      <c r="C18" s="7">
        <f>FV(taxa_mensal,A18*12,aporte*-1)</f>
        <v>20423.147745436192</v>
      </c>
      <c r="D18" s="9">
        <f>C18*rendimento_carteira</f>
        <v>122.53888647261715</v>
      </c>
    </row>
    <row r="19" spans="1:5" ht="21.75" customHeight="1" x14ac:dyDescent="0.25">
      <c r="A19" s="16">
        <v>5</v>
      </c>
      <c r="B19" s="6" t="s">
        <v>7</v>
      </c>
      <c r="C19" s="7">
        <f>FV(taxa_mensal,A19*12,aporte*-1)</f>
        <v>62853.014519443823</v>
      </c>
      <c r="D19" s="9">
        <f>C19*rendimento_carteira</f>
        <v>377.11808711666293</v>
      </c>
    </row>
    <row r="20" spans="1:5" ht="21.75" customHeight="1" x14ac:dyDescent="0.25">
      <c r="A20" s="16">
        <v>10</v>
      </c>
      <c r="B20" s="6" t="s">
        <v>8</v>
      </c>
      <c r="C20" s="7">
        <f>FV(taxa_mensal,A20*12,aporte*-1)</f>
        <v>182593.24969110006</v>
      </c>
      <c r="D20" s="9">
        <f>C20*rendimento_carteira</f>
        <v>1095.5594981466004</v>
      </c>
    </row>
    <row r="21" spans="1:5" ht="21.75" customHeight="1" x14ac:dyDescent="0.25">
      <c r="A21" s="16">
        <v>20</v>
      </c>
      <c r="B21" s="6" t="s">
        <v>9</v>
      </c>
      <c r="C21" s="7">
        <f>FV(taxa_mensal,A21*12,aporte*-1)</f>
        <v>845286.74497389246</v>
      </c>
      <c r="D21" s="9">
        <f>C21*rendimento_carteira</f>
        <v>5071.7204698433552</v>
      </c>
    </row>
    <row r="22" spans="1:5" ht="21.75" customHeight="1" x14ac:dyDescent="0.25">
      <c r="A22" s="16">
        <v>30</v>
      </c>
      <c r="B22" s="6" t="s">
        <v>10</v>
      </c>
      <c r="C22" s="7">
        <f>FV(taxa_mensal,A22*12,aporte*-1)</f>
        <v>3250428.6077375636</v>
      </c>
      <c r="D22" s="9">
        <f>C22*rendimento_carteira</f>
        <v>19502.571646425382</v>
      </c>
    </row>
    <row r="23" spans="1:5" ht="21.75" customHeight="1" x14ac:dyDescent="0.25">
      <c r="B23" s="6"/>
      <c r="C23" s="6"/>
      <c r="D23" s="6"/>
    </row>
    <row r="24" spans="1:5" ht="21.75" customHeight="1" x14ac:dyDescent="0.25">
      <c r="B24" s="10" t="s">
        <v>17</v>
      </c>
      <c r="C24" s="20" t="s">
        <v>31</v>
      </c>
      <c r="D24" s="21" t="s">
        <v>33</v>
      </c>
      <c r="E24" s="21"/>
    </row>
    <row r="25" spans="1:5" ht="21.75" customHeight="1" x14ac:dyDescent="0.25">
      <c r="B25" s="10" t="s">
        <v>18</v>
      </c>
      <c r="C25" s="7">
        <f>aporte</f>
        <v>750</v>
      </c>
      <c r="D25" s="6"/>
    </row>
    <row r="26" spans="1:5" ht="21.75" customHeight="1" x14ac:dyDescent="0.25">
      <c r="B26" s="6"/>
      <c r="C26" s="6"/>
      <c r="D26" s="6"/>
    </row>
    <row r="27" spans="1:5" ht="21.75" customHeight="1" x14ac:dyDescent="0.25">
      <c r="B27" s="12" t="s">
        <v>19</v>
      </c>
      <c r="C27" s="13" t="s">
        <v>26</v>
      </c>
      <c r="D27" s="13" t="s">
        <v>27</v>
      </c>
    </row>
    <row r="28" spans="1:5" ht="21.75" customHeight="1" x14ac:dyDescent="0.25">
      <c r="B28" s="6" t="s">
        <v>20</v>
      </c>
      <c r="C28" s="11">
        <f>IFERROR(VLOOKUP(tipo_perfil&amp;"-"&amp;B28,Suporte!A:D,4,0),0)</f>
        <v>0.5</v>
      </c>
      <c r="D28" s="9">
        <f t="shared" ref="D28:D33" si="0">C28*investimento</f>
        <v>375</v>
      </c>
    </row>
    <row r="29" spans="1:5" ht="21.75" customHeight="1" x14ac:dyDescent="0.25">
      <c r="B29" s="6" t="s">
        <v>21</v>
      </c>
      <c r="C29" s="11">
        <f>IFERROR(VLOOKUP(tipo_perfil&amp;"-"&amp;B29,Suporte!A:D,4,0),0)</f>
        <v>0.1</v>
      </c>
      <c r="D29" s="9">
        <f t="shared" si="0"/>
        <v>75</v>
      </c>
    </row>
    <row r="30" spans="1:5" ht="21.75" customHeight="1" x14ac:dyDescent="0.25">
      <c r="B30" s="6" t="s">
        <v>22</v>
      </c>
      <c r="C30" s="11">
        <f>IFERROR(VLOOKUP(tipo_perfil&amp;"-"&amp;B30,Suporte!A:D,4,0),0)</f>
        <v>0.05</v>
      </c>
      <c r="D30" s="9">
        <f t="shared" si="0"/>
        <v>37.5</v>
      </c>
    </row>
    <row r="31" spans="1:5" ht="21.75" customHeight="1" x14ac:dyDescent="0.25">
      <c r="B31" s="6" t="s">
        <v>23</v>
      </c>
      <c r="C31" s="11">
        <f>IFERROR(VLOOKUP(tipo_perfil&amp;"-"&amp;B31,Suporte!A:D,4,0),0)</f>
        <v>0.05</v>
      </c>
      <c r="D31" s="9">
        <f t="shared" si="0"/>
        <v>37.5</v>
      </c>
    </row>
    <row r="32" spans="1:5" ht="21.75" customHeight="1" x14ac:dyDescent="0.25">
      <c r="B32" s="6" t="s">
        <v>24</v>
      </c>
      <c r="C32" s="11">
        <f>IFERROR(VLOOKUP(tipo_perfil&amp;"-"&amp;B32,Suporte!A:D,4,0),0)</f>
        <v>0.2</v>
      </c>
      <c r="D32" s="9">
        <f t="shared" si="0"/>
        <v>150</v>
      </c>
    </row>
    <row r="33" spans="2:4" ht="21.75" customHeight="1" x14ac:dyDescent="0.25">
      <c r="B33" s="6" t="s">
        <v>25</v>
      </c>
      <c r="C33" s="11">
        <f>IFERROR(VLOOKUP(tipo_perfil&amp;"-"&amp;B33,Suporte!A:D,4,0),0)</f>
        <v>0.1</v>
      </c>
      <c r="D33" s="9">
        <f t="shared" si="0"/>
        <v>75</v>
      </c>
    </row>
  </sheetData>
  <sheetProtection algorithmName="SHA-512" hashValue="yIy6R+1q91k0w4EWtSce0XAIfavqEPas/5gZ7mKxg1tmPpGSkAYDxtzcKnmSqbPeOM4URzJg845Vqcjyp49T7w==" saltValue="yNbEDLFR9pC/HvW6qHgUhQ==" spinCount="100000" sheet="1" objects="1" scenarios="1"/>
  <conditionalFormatting sqref="C24">
    <cfRule type="containsText" dxfId="0" priority="3" operator="containsText" text="Conservador">
      <formula>NOT(ISERROR(SEARCH("Conservador",C24)))</formula>
    </cfRule>
    <cfRule type="containsText" dxfId="1" priority="2" operator="containsText" text="Moderado">
      <formula>NOT(ISERROR(SEARCH("Moderado",C24)))</formula>
    </cfRule>
    <cfRule type="containsText" dxfId="2" priority="1" operator="containsText" text="Agressivo">
      <formula>NOT(ISERROR(SEARCH("Agressivo",C24)))</formula>
    </cfRule>
  </conditionalFormatting>
  <dataValidations count="1">
    <dataValidation type="list" allowBlank="1" showInputMessage="1" showErrorMessage="1" sqref="C24" xr:uid="{3F16B52D-944B-47DC-B674-723B1D488700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695E-CD43-4158-A764-6827F3C530F4}">
  <dimension ref="A2:I20"/>
  <sheetViews>
    <sheetView workbookViewId="0">
      <selection activeCell="I6" sqref="I6"/>
    </sheetView>
  </sheetViews>
  <sheetFormatPr defaultRowHeight="15" x14ac:dyDescent="0.25"/>
  <cols>
    <col min="1" max="1" width="30.85546875" bestFit="1" customWidth="1"/>
    <col min="2" max="2" width="12.140625" bestFit="1" customWidth="1"/>
  </cols>
  <sheetData>
    <row r="2" spans="1:9" x14ac:dyDescent="0.25">
      <c r="A2" t="s">
        <v>32</v>
      </c>
      <c r="B2" t="s">
        <v>17</v>
      </c>
      <c r="C2" t="s">
        <v>19</v>
      </c>
      <c r="D2" t="s">
        <v>29</v>
      </c>
    </row>
    <row r="3" spans="1:9" x14ac:dyDescent="0.25">
      <c r="A3" t="str">
        <f>B3&amp;"-"&amp;C3</f>
        <v>Conservador-PAPEL</v>
      </c>
      <c r="B3" t="s">
        <v>28</v>
      </c>
      <c r="C3" t="s">
        <v>20</v>
      </c>
      <c r="D3" s="1">
        <v>0.3</v>
      </c>
      <c r="H3" t="s">
        <v>28</v>
      </c>
      <c r="I3">
        <v>1</v>
      </c>
    </row>
    <row r="4" spans="1:9" x14ac:dyDescent="0.25">
      <c r="A4" t="str">
        <f t="shared" ref="A4:A20" si="0">B4&amp;"-"&amp;C4</f>
        <v>Conservador-TIJOLO</v>
      </c>
      <c r="B4" t="s">
        <v>28</v>
      </c>
      <c r="C4" t="s">
        <v>21</v>
      </c>
      <c r="D4" s="1">
        <v>0.5</v>
      </c>
      <c r="H4" t="s">
        <v>30</v>
      </c>
      <c r="I4">
        <v>2</v>
      </c>
    </row>
    <row r="5" spans="1:9" x14ac:dyDescent="0.25">
      <c r="A5" t="str">
        <f t="shared" si="0"/>
        <v>Conservador-HÍBRIDOS</v>
      </c>
      <c r="B5" t="s">
        <v>28</v>
      </c>
      <c r="C5" t="s">
        <v>22</v>
      </c>
      <c r="D5" s="1">
        <v>0.1</v>
      </c>
      <c r="H5" t="s">
        <v>31</v>
      </c>
      <c r="I5">
        <v>3</v>
      </c>
    </row>
    <row r="6" spans="1:9" x14ac:dyDescent="0.25">
      <c r="A6" t="str">
        <f t="shared" si="0"/>
        <v>Conservador-FOFS</v>
      </c>
      <c r="B6" t="s">
        <v>28</v>
      </c>
      <c r="C6" t="s">
        <v>23</v>
      </c>
      <c r="D6" s="1">
        <v>0.1</v>
      </c>
    </row>
    <row r="7" spans="1:9" x14ac:dyDescent="0.25">
      <c r="A7" t="str">
        <f t="shared" si="0"/>
        <v>Conservador-DESENVOLVIMENTO</v>
      </c>
      <c r="B7" t="s">
        <v>28</v>
      </c>
      <c r="C7" t="s">
        <v>24</v>
      </c>
      <c r="D7" s="1">
        <v>0</v>
      </c>
    </row>
    <row r="8" spans="1:9" x14ac:dyDescent="0.25">
      <c r="A8" t="str">
        <f t="shared" si="0"/>
        <v>Conservador-HOTELARIAS</v>
      </c>
      <c r="B8" t="s">
        <v>28</v>
      </c>
      <c r="C8" t="s">
        <v>25</v>
      </c>
      <c r="D8" s="1">
        <v>0</v>
      </c>
    </row>
    <row r="9" spans="1:9" x14ac:dyDescent="0.25">
      <c r="A9" t="str">
        <f t="shared" si="0"/>
        <v>Moderado-PAPEL</v>
      </c>
      <c r="B9" t="s">
        <v>30</v>
      </c>
      <c r="C9" t="s">
        <v>20</v>
      </c>
      <c r="D9" s="1">
        <v>0.32</v>
      </c>
    </row>
    <row r="10" spans="1:9" x14ac:dyDescent="0.25">
      <c r="A10" t="str">
        <f t="shared" si="0"/>
        <v>Moderado-TIJOLO</v>
      </c>
      <c r="B10" t="s">
        <v>30</v>
      </c>
      <c r="C10" t="s">
        <v>21</v>
      </c>
      <c r="D10" s="1">
        <v>0.35</v>
      </c>
    </row>
    <row r="11" spans="1:9" x14ac:dyDescent="0.25">
      <c r="A11" t="str">
        <f t="shared" si="0"/>
        <v>Moderado-HÍBRIDOS</v>
      </c>
      <c r="B11" t="s">
        <v>30</v>
      </c>
      <c r="C11" t="s">
        <v>22</v>
      </c>
      <c r="D11" s="1">
        <v>0.08</v>
      </c>
    </row>
    <row r="12" spans="1:9" x14ac:dyDescent="0.25">
      <c r="A12" t="str">
        <f t="shared" si="0"/>
        <v>Moderado-FOFS</v>
      </c>
      <c r="B12" t="s">
        <v>30</v>
      </c>
      <c r="C12" t="s">
        <v>23</v>
      </c>
      <c r="D12" s="1">
        <v>0.05</v>
      </c>
    </row>
    <row r="13" spans="1:9" x14ac:dyDescent="0.25">
      <c r="A13" t="str">
        <f t="shared" si="0"/>
        <v>Moderado-DESENVOLVIMENTO</v>
      </c>
      <c r="B13" t="s">
        <v>30</v>
      </c>
      <c r="C13" t="s">
        <v>24</v>
      </c>
      <c r="D13" s="1">
        <v>0.1</v>
      </c>
    </row>
    <row r="14" spans="1:9" x14ac:dyDescent="0.25">
      <c r="A14" t="str">
        <f t="shared" si="0"/>
        <v>Moderado-HOTELARIAS</v>
      </c>
      <c r="B14" t="s">
        <v>30</v>
      </c>
      <c r="C14" t="s">
        <v>25</v>
      </c>
      <c r="D14" s="1">
        <v>0.1</v>
      </c>
    </row>
    <row r="15" spans="1:9" x14ac:dyDescent="0.25">
      <c r="A15" t="str">
        <f t="shared" si="0"/>
        <v>Agressivo-PAPEL</v>
      </c>
      <c r="B15" t="s">
        <v>31</v>
      </c>
      <c r="C15" t="s">
        <v>20</v>
      </c>
      <c r="D15" s="1">
        <v>0.5</v>
      </c>
    </row>
    <row r="16" spans="1:9" x14ac:dyDescent="0.25">
      <c r="A16" t="str">
        <f t="shared" si="0"/>
        <v>Agressivo-TIJOLO</v>
      </c>
      <c r="B16" t="s">
        <v>31</v>
      </c>
      <c r="C16" t="s">
        <v>21</v>
      </c>
      <c r="D16" s="1">
        <v>0.1</v>
      </c>
    </row>
    <row r="17" spans="1:4" x14ac:dyDescent="0.25">
      <c r="A17" t="str">
        <f t="shared" si="0"/>
        <v>Agressivo-HÍBRIDOS</v>
      </c>
      <c r="B17" t="s">
        <v>31</v>
      </c>
      <c r="C17" t="s">
        <v>22</v>
      </c>
      <c r="D17" s="1">
        <v>0.05</v>
      </c>
    </row>
    <row r="18" spans="1:4" x14ac:dyDescent="0.25">
      <c r="A18" t="str">
        <f t="shared" si="0"/>
        <v>Agressivo-FOFS</v>
      </c>
      <c r="B18" t="s">
        <v>31</v>
      </c>
      <c r="C18" t="s">
        <v>23</v>
      </c>
      <c r="D18" s="1">
        <v>0.05</v>
      </c>
    </row>
    <row r="19" spans="1:4" x14ac:dyDescent="0.25">
      <c r="A19" t="str">
        <f t="shared" si="0"/>
        <v>Agressivo-DESENVOLVIMENTO</v>
      </c>
      <c r="B19" t="s">
        <v>31</v>
      </c>
      <c r="C19" t="s">
        <v>24</v>
      </c>
      <c r="D19" s="1">
        <v>0.2</v>
      </c>
    </row>
    <row r="20" spans="1:4" x14ac:dyDescent="0.25">
      <c r="A20" t="str">
        <f t="shared" si="0"/>
        <v>Agressivo-HOTELARIAS</v>
      </c>
      <c r="B20" t="s">
        <v>31</v>
      </c>
      <c r="C20" t="s">
        <v>25</v>
      </c>
      <c r="D20" s="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Calculadora</vt:lpstr>
      <vt:lpstr>Suporte</vt:lpstr>
      <vt:lpstr>aporte</vt:lpstr>
      <vt:lpstr>investimento</vt:lpstr>
      <vt:lpstr>patrimonio</vt:lpstr>
      <vt:lpstr>qtd_anos</vt:lpstr>
      <vt:lpstr>rendimento_carteira</vt:lpstr>
      <vt:lpstr>taxa_mensal</vt:lpstr>
      <vt:lpstr>tipo_perfil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Nagata</dc:creator>
  <cp:lastModifiedBy>Leandro Nagata</cp:lastModifiedBy>
  <dcterms:created xsi:type="dcterms:W3CDTF">2026-10-13T00:52:27Z</dcterms:created>
  <dcterms:modified xsi:type="dcterms:W3CDTF">2026-10-13T02:30:17Z</dcterms:modified>
</cp:coreProperties>
</file>